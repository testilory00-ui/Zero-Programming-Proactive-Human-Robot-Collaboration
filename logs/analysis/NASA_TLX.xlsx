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esti\Desktop\Tesi_code\logs\analysis\"/>
    </mc:Choice>
  </mc:AlternateContent>
  <xr:revisionPtr revIDLastSave="0" documentId="13_ncr:1_{B05E6CA3-40EB-4E95-AF9E-B1FB5266EBBE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Foglio1" sheetId="1" r:id="rId1"/>
  </sheets>
  <definedNames>
    <definedName name="_xlnm._FilterDatabase" localSheetId="0" hidden="1">Foglio1!$A$1:$J$33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7" i="1" l="1"/>
  <c r="H37" i="1"/>
  <c r="I37" i="1"/>
  <c r="J37" i="1"/>
  <c r="F37" i="1"/>
  <c r="E37" i="1"/>
  <c r="C37" i="1"/>
  <c r="J36" i="1"/>
  <c r="I36" i="1"/>
  <c r="H36" i="1"/>
  <c r="G36" i="1"/>
  <c r="F36" i="1"/>
  <c r="E36" i="1"/>
  <c r="C36" i="1"/>
  <c r="C13" i="1"/>
  <c r="C12" i="1"/>
  <c r="C11" i="1"/>
  <c r="C10" i="1"/>
  <c r="C9" i="1"/>
  <c r="C8" i="1"/>
  <c r="C7" i="1"/>
  <c r="C6" i="1"/>
  <c r="C5" i="1"/>
  <c r="C4" i="1"/>
  <c r="C3" i="1"/>
  <c r="C2" i="1"/>
  <c r="J38" i="1" l="1"/>
  <c r="H38" i="1"/>
  <c r="G38" i="1"/>
  <c r="F38" i="1"/>
  <c r="E38" i="1"/>
  <c r="I38" i="1"/>
</calcChain>
</file>

<file path=xl/sharedStrings.xml><?xml version="1.0" encoding="utf-8"?>
<sst xmlns="http://schemas.openxmlformats.org/spreadsheetml/2006/main" count="77" uniqueCount="47">
  <si>
    <t>Informazioni cronologiche</t>
  </si>
  <si>
    <t>Participant ID</t>
  </si>
  <si>
    <t>Time</t>
  </si>
  <si>
    <t>Type of experiment</t>
  </si>
  <si>
    <t>1. Mental Demand 
EN: How much mental and perceptual activity was required? (e.g., thinking, deciding, calculating, remembering, looking, searching)
IT: Quanta attività mentale e percettiva è stata richiesta? (es. pensare, decidere, calcolare, ricordare, osservare, cercare)</t>
  </si>
  <si>
    <t>2. Physical Demand 
EN: How much physical activity was required? (e.g., pushing, pulling, turning, controlling, activating)
IT: Quanta attività fisica è stata richiesta? (es. spingere, tirare, ruotare, controllare, azionare)</t>
  </si>
  <si>
    <t>3. Temporal Demand 
EN: How much time pressure did you feel due to the rate or pace at which the tasks occurred?
IT: Quanta pressione temporale hai avvertito a causa del ritmo o della velocità con cui si svolgeva il compito?</t>
  </si>
  <si>
    <t>4. Performance 
EN: How successful do you think you were in accomplishing the goals of the task?
IT: Quanto pensi di aver avuto successo nel raggiungere gli obiettivi del compito?</t>
  </si>
  <si>
    <t>5. Effort 
EN: How hard did you have to work (mentally and physically) to accomplish your level of performance?
IT: Quanto hai dovuto impegnarti (mentalmente e fisicamente) per raggiungere il tuo livello di prestazione?</t>
  </si>
  <si>
    <t>6. Frustration 
EN: How insecure, discouraged, irritated, stressed, and annoyed were you (versus secure, content, relaxed, and complacent)?
IT: Ti sei sentito insicuro, scoraggiato, irritato, stressato e infastidito (rispetto a sicuro, soddisfatto, rilassato e tranquillo)?</t>
  </si>
  <si>
    <t>26/05/2026 11.18.43</t>
  </si>
  <si>
    <t>Without robot</t>
  </si>
  <si>
    <t>26/05/2026 11.25.28</t>
  </si>
  <si>
    <t>With robot</t>
  </si>
  <si>
    <t>26/05/2026 11.42.01</t>
  </si>
  <si>
    <t>26/05/2026 11.49.50</t>
  </si>
  <si>
    <t>26/05/2026 12.07.28</t>
  </si>
  <si>
    <t>26/05/2026 12.16.19</t>
  </si>
  <si>
    <t>26/05/2026 12.24.42</t>
  </si>
  <si>
    <t>26/05/2026 12.33.16</t>
  </si>
  <si>
    <t>26/05/2026 12.41.02</t>
  </si>
  <si>
    <t>26/05/2026 12.48.45</t>
  </si>
  <si>
    <t>26/05/2026 12.57.41</t>
  </si>
  <si>
    <t>26/05/2026 13.02.12</t>
  </si>
  <si>
    <t>With robot – Mean</t>
  </si>
  <si>
    <t>Without robot – Mean</t>
  </si>
  <si>
    <t>Δ% (With vs Without)</t>
  </si>
  <si>
    <t>03/06/2026 10.44.29</t>
  </si>
  <si>
    <t>03/06/2026 10.52.40</t>
  </si>
  <si>
    <t>03/06/2026 11.06.38</t>
  </si>
  <si>
    <t>03/06/2026 11.14.43</t>
  </si>
  <si>
    <t>03/06/2026 11.37.33</t>
  </si>
  <si>
    <t>03/06/2026 11.42.35</t>
  </si>
  <si>
    <t>03/06/2026 12.14.22</t>
  </si>
  <si>
    <t>03/06/2026 12.20.52</t>
  </si>
  <si>
    <t>03/06/2026 13.33.38</t>
  </si>
  <si>
    <t>03/06/2026 13.42.30</t>
  </si>
  <si>
    <t>03/06/2026 13.56.10</t>
  </si>
  <si>
    <t>03/06/2026 14.03.47</t>
  </si>
  <si>
    <t>03/06/2026 14.14.26</t>
  </si>
  <si>
    <t>03/06/2026 14.21.50</t>
  </si>
  <si>
    <t>16/06/2026 10.57.15</t>
  </si>
  <si>
    <t>16/06/2026 11.04.56</t>
  </si>
  <si>
    <t>16/06/2026 11.19.41</t>
  </si>
  <si>
    <t>16/06/2026 11.24.59</t>
  </si>
  <si>
    <t>16/06/2026 11.42.33</t>
  </si>
  <si>
    <t>16/06/2026 11.49.04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</si>
</sst>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" x14ac:knownFonts="1">
    <font>
      <sz val="11"/>
      <color theme="1"/>
      <name val="Aptos Narrow"/>
      <family val="2"/>
      <charset val="1"/>
    </font>
    <font>
      <sz val="9"/>
      <color rgb="FFFFFFFF"/>
      <name val="Roboto"/>
      <charset val="1"/>
    </font>
    <font>
      <b/>
      <sz val="11"/>
      <name val="Cambria"/>
      <charset val="1"/>
    </font>
    <font>
      <sz val="10"/>
      <color theme="1"/>
      <name val="Arial"/>
      <family val="2"/>
      <charset val="1"/>
    </font>
    <font>
      <sz val="10"/>
      <color rgb="FF434343"/>
      <name val="Roboto"/>
      <charset val="1"/>
    </font>
    <font>
      <sz val="10"/>
      <color rgb="FF434343"/>
      <name val="Roboto"/>
    </font>
  </fonts>
  <fills count="10">
    <fill>
      <patternFill patternType="none"/>
    </fill>
    <fill>
      <patternFill patternType="gray125"/>
    </fill>
    <fill>
      <patternFill patternType="solid">
        <fgColor rgb="FF5B3F86"/>
        <bgColor rgb="FF434343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CC99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5" borderId="0" xfId="0" applyFont="1" applyFill="1"/>
    <xf numFmtId="2" fontId="0" fillId="5" borderId="1" xfId="0" applyNumberFormat="1" applyFill="1" applyBorder="1" applyAlignment="1">
      <alignment horizontal="center" vertical="center"/>
    </xf>
    <xf numFmtId="0" fontId="2" fillId="6" borderId="0" xfId="0" applyFont="1" applyFill="1"/>
    <xf numFmtId="2" fontId="0" fillId="6" borderId="1" xfId="0" applyNumberFormat="1" applyFill="1" applyBorder="1" applyAlignment="1">
      <alignment horizontal="center" vertical="center"/>
    </xf>
    <xf numFmtId="0" fontId="2" fillId="7" borderId="0" xfId="0" applyFont="1" applyFill="1"/>
    <xf numFmtId="164" fontId="0" fillId="7" borderId="1" xfId="0" applyNumberFormat="1" applyFill="1" applyBorder="1" applyAlignment="1">
      <alignment horizontal="center" vertical="center"/>
    </xf>
    <xf numFmtId="165" fontId="0" fillId="0" borderId="0" xfId="0" applyNumberFormat="1"/>
    <xf numFmtId="0" fontId="4" fillId="4" borderId="0" xfId="0" applyFont="1" applyFill="1" applyBorder="1" applyAlignment="1">
      <alignment horizontal="right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B3F86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38"/>
  <sheetViews>
    <sheetView tabSelected="1" zoomScale="70" zoomScaleNormal="82" workbookViewId="0">
      <selection activeCell="C35" sqref="C35"/>
    </sheetView>
  </sheetViews>
  <sheetFormatPr defaultColWidth="8.53125" defaultRowHeight="14.25" x14ac:dyDescent="0.45"/>
  <cols>
    <col min="1" max="1" width="25" customWidth="1"/>
    <col min="2" max="3" width="11.9296875" customWidth="1"/>
    <col min="4" max="4" width="23.3984375" customWidth="1"/>
    <col min="5" max="5" width="50.3984375" customWidth="1"/>
    <col min="6" max="6" width="49.33203125" customWidth="1"/>
    <col min="7" max="7" width="49.6640625" customWidth="1"/>
    <col min="8" max="8" width="54.86328125" customWidth="1"/>
    <col min="9" max="9" width="51.9296875" customWidth="1"/>
    <col min="10" max="10" width="63.06640625" customWidth="1"/>
  </cols>
  <sheetData>
    <row r="1" spans="1:15" ht="97.5" customHeight="1" x14ac:dyDescent="0.4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</row>
    <row r="2" spans="1:15" x14ac:dyDescent="0.45">
      <c r="A2" s="4" t="s">
        <v>10</v>
      </c>
      <c r="B2" s="5">
        <v>1</v>
      </c>
      <c r="C2" s="5">
        <f>(3*60)+26</f>
        <v>206</v>
      </c>
      <c r="D2" s="6" t="s">
        <v>11</v>
      </c>
      <c r="E2" s="5">
        <v>7</v>
      </c>
      <c r="F2" s="5">
        <v>2</v>
      </c>
      <c r="G2" s="5">
        <v>7</v>
      </c>
      <c r="H2" s="5">
        <v>9</v>
      </c>
      <c r="I2" s="5">
        <v>7</v>
      </c>
      <c r="J2" s="5">
        <v>7</v>
      </c>
      <c r="K2" s="3"/>
      <c r="L2" s="3"/>
      <c r="M2" s="3"/>
      <c r="N2" s="3"/>
      <c r="O2" s="3"/>
    </row>
    <row r="3" spans="1:15" hidden="1" x14ac:dyDescent="0.45">
      <c r="A3" s="7" t="s">
        <v>12</v>
      </c>
      <c r="B3" s="8">
        <v>1</v>
      </c>
      <c r="C3" s="8">
        <f>(3*60)+57</f>
        <v>237</v>
      </c>
      <c r="D3" s="9" t="s">
        <v>13</v>
      </c>
      <c r="E3" s="8">
        <v>4</v>
      </c>
      <c r="F3" s="8">
        <v>3</v>
      </c>
      <c r="G3" s="8">
        <v>3</v>
      </c>
      <c r="H3" s="8">
        <v>9</v>
      </c>
      <c r="I3" s="8">
        <v>2</v>
      </c>
      <c r="J3" s="8">
        <v>3</v>
      </c>
      <c r="K3" s="3"/>
      <c r="L3" s="3"/>
      <c r="M3" s="3"/>
      <c r="N3" s="3"/>
      <c r="O3" s="3"/>
    </row>
    <row r="4" spans="1:15" x14ac:dyDescent="0.45">
      <c r="A4" s="4" t="s">
        <v>14</v>
      </c>
      <c r="B4" s="5">
        <v>2</v>
      </c>
      <c r="C4" s="5">
        <f>2*60+25</f>
        <v>145</v>
      </c>
      <c r="D4" s="6" t="s">
        <v>11</v>
      </c>
      <c r="E4" s="5">
        <v>4</v>
      </c>
      <c r="F4" s="5">
        <v>3</v>
      </c>
      <c r="G4" s="5">
        <v>1</v>
      </c>
      <c r="H4" s="5">
        <v>10</v>
      </c>
      <c r="I4" s="5">
        <v>3</v>
      </c>
      <c r="J4" s="5">
        <v>1</v>
      </c>
      <c r="K4" s="3"/>
      <c r="L4" s="3"/>
      <c r="M4" s="3"/>
      <c r="N4" s="3"/>
      <c r="O4" s="3"/>
    </row>
    <row r="5" spans="1:15" hidden="1" x14ac:dyDescent="0.45">
      <c r="A5" s="7" t="s">
        <v>15</v>
      </c>
      <c r="B5" s="8">
        <v>2</v>
      </c>
      <c r="C5" s="8">
        <f>4*60+59</f>
        <v>299</v>
      </c>
      <c r="D5" s="9" t="s">
        <v>13</v>
      </c>
      <c r="E5" s="8">
        <v>2</v>
      </c>
      <c r="F5" s="8">
        <v>2</v>
      </c>
      <c r="G5" s="8">
        <v>1</v>
      </c>
      <c r="H5" s="8">
        <v>9</v>
      </c>
      <c r="I5" s="8">
        <v>1</v>
      </c>
      <c r="J5" s="8">
        <v>1</v>
      </c>
      <c r="K5" s="3"/>
      <c r="L5" s="3"/>
      <c r="M5" s="3"/>
      <c r="N5" s="3"/>
      <c r="O5" s="3"/>
    </row>
    <row r="6" spans="1:15" x14ac:dyDescent="0.45">
      <c r="A6" s="4" t="s">
        <v>16</v>
      </c>
      <c r="B6" s="5">
        <v>3</v>
      </c>
      <c r="C6" s="5">
        <f>5*60+31</f>
        <v>331</v>
      </c>
      <c r="D6" s="6" t="s">
        <v>11</v>
      </c>
      <c r="E6" s="5">
        <v>7</v>
      </c>
      <c r="F6" s="5">
        <v>4</v>
      </c>
      <c r="G6" s="5">
        <v>7</v>
      </c>
      <c r="H6" s="5">
        <v>2</v>
      </c>
      <c r="I6" s="5">
        <v>7</v>
      </c>
      <c r="J6" s="5">
        <v>8</v>
      </c>
      <c r="K6" s="3"/>
      <c r="L6" s="3"/>
      <c r="M6" s="3"/>
      <c r="N6" s="3"/>
      <c r="O6" s="3"/>
    </row>
    <row r="7" spans="1:15" hidden="1" x14ac:dyDescent="0.45">
      <c r="A7" s="7" t="s">
        <v>17</v>
      </c>
      <c r="B7" s="8">
        <v>3</v>
      </c>
      <c r="C7" s="8">
        <f>5*60+13</f>
        <v>313</v>
      </c>
      <c r="D7" s="9" t="s">
        <v>13</v>
      </c>
      <c r="E7" s="8">
        <v>6</v>
      </c>
      <c r="F7" s="8">
        <v>3</v>
      </c>
      <c r="G7" s="8">
        <v>8</v>
      </c>
      <c r="H7" s="8">
        <v>5</v>
      </c>
      <c r="I7" s="8">
        <v>6</v>
      </c>
      <c r="J7" s="8">
        <v>6</v>
      </c>
      <c r="K7" s="3"/>
      <c r="L7" s="3"/>
      <c r="M7" s="3"/>
      <c r="N7" s="3"/>
      <c r="O7" s="3"/>
    </row>
    <row r="8" spans="1:15" x14ac:dyDescent="0.45">
      <c r="A8" s="4" t="s">
        <v>18</v>
      </c>
      <c r="B8" s="5">
        <v>4</v>
      </c>
      <c r="C8" s="5">
        <f>4*60+18</f>
        <v>258</v>
      </c>
      <c r="D8" s="6" t="s">
        <v>11</v>
      </c>
      <c r="E8" s="5">
        <v>2</v>
      </c>
      <c r="F8" s="5">
        <v>1</v>
      </c>
      <c r="G8" s="5">
        <v>2</v>
      </c>
      <c r="H8" s="5">
        <v>9</v>
      </c>
      <c r="I8" s="5">
        <v>1</v>
      </c>
      <c r="J8" s="5">
        <v>3</v>
      </c>
      <c r="K8" s="3"/>
      <c r="L8" s="3"/>
      <c r="M8" s="3"/>
      <c r="N8" s="3"/>
      <c r="O8" s="3"/>
    </row>
    <row r="9" spans="1:15" hidden="1" x14ac:dyDescent="0.45">
      <c r="A9" s="7" t="s">
        <v>19</v>
      </c>
      <c r="B9" s="8">
        <v>4</v>
      </c>
      <c r="C9" s="8">
        <f>4*60+57</f>
        <v>297</v>
      </c>
      <c r="D9" s="9" t="s">
        <v>13</v>
      </c>
      <c r="E9" s="8">
        <v>2</v>
      </c>
      <c r="F9" s="8">
        <v>1</v>
      </c>
      <c r="G9" s="8">
        <v>1</v>
      </c>
      <c r="H9" s="8">
        <v>9</v>
      </c>
      <c r="I9" s="8">
        <v>1</v>
      </c>
      <c r="J9" s="8">
        <v>1</v>
      </c>
      <c r="K9" s="3"/>
      <c r="L9" s="3"/>
      <c r="M9" s="3"/>
      <c r="N9" s="3"/>
      <c r="O9" s="3"/>
    </row>
    <row r="10" spans="1:15" x14ac:dyDescent="0.45">
      <c r="A10" s="4" t="s">
        <v>20</v>
      </c>
      <c r="B10" s="5">
        <v>5</v>
      </c>
      <c r="C10" s="5">
        <f>4*60+11</f>
        <v>251</v>
      </c>
      <c r="D10" s="6" t="s">
        <v>11</v>
      </c>
      <c r="E10" s="5">
        <v>3</v>
      </c>
      <c r="F10" s="5">
        <v>2</v>
      </c>
      <c r="G10" s="5">
        <v>6</v>
      </c>
      <c r="H10" s="5">
        <v>8</v>
      </c>
      <c r="I10" s="5">
        <v>3</v>
      </c>
      <c r="J10" s="5">
        <v>2</v>
      </c>
      <c r="K10" s="3"/>
      <c r="L10" s="3"/>
      <c r="M10" s="3"/>
      <c r="N10" s="3"/>
      <c r="O10" s="3"/>
    </row>
    <row r="11" spans="1:15" hidden="1" x14ac:dyDescent="0.45">
      <c r="A11" s="7" t="s">
        <v>21</v>
      </c>
      <c r="B11" s="8">
        <v>5</v>
      </c>
      <c r="C11" s="8">
        <f>4*60+53</f>
        <v>293</v>
      </c>
      <c r="D11" s="9" t="s">
        <v>13</v>
      </c>
      <c r="E11" s="8">
        <v>2</v>
      </c>
      <c r="F11" s="8">
        <v>3</v>
      </c>
      <c r="G11" s="8">
        <v>5</v>
      </c>
      <c r="H11" s="8">
        <v>8</v>
      </c>
      <c r="I11" s="8">
        <v>2</v>
      </c>
      <c r="J11" s="8">
        <v>2</v>
      </c>
      <c r="K11" s="3"/>
      <c r="L11" s="3"/>
      <c r="M11" s="3"/>
      <c r="N11" s="3"/>
      <c r="O11" s="3"/>
    </row>
    <row r="12" spans="1:15" hidden="1" x14ac:dyDescent="0.45">
      <c r="A12" s="4" t="s">
        <v>22</v>
      </c>
      <c r="B12" s="5">
        <v>6</v>
      </c>
      <c r="C12" s="5">
        <f>4*60+40</f>
        <v>280</v>
      </c>
      <c r="D12" s="6" t="s">
        <v>13</v>
      </c>
      <c r="E12" s="5">
        <v>5</v>
      </c>
      <c r="F12" s="5">
        <v>2</v>
      </c>
      <c r="G12" s="5">
        <v>4</v>
      </c>
      <c r="H12" s="5">
        <v>8</v>
      </c>
      <c r="I12" s="5">
        <v>2</v>
      </c>
      <c r="J12" s="5">
        <v>3</v>
      </c>
      <c r="K12" s="3"/>
      <c r="L12" s="3"/>
      <c r="M12" s="3"/>
      <c r="N12" s="3"/>
      <c r="O12" s="3"/>
    </row>
    <row r="13" spans="1:15" x14ac:dyDescent="0.45">
      <c r="A13" s="7" t="s">
        <v>23</v>
      </c>
      <c r="B13" s="8">
        <v>6</v>
      </c>
      <c r="C13" s="8">
        <f>3*60+5</f>
        <v>185</v>
      </c>
      <c r="D13" s="9" t="s">
        <v>11</v>
      </c>
      <c r="E13" s="8">
        <v>2</v>
      </c>
      <c r="F13" s="8">
        <v>2</v>
      </c>
      <c r="G13" s="8">
        <v>2</v>
      </c>
      <c r="H13" s="8">
        <v>9</v>
      </c>
      <c r="I13" s="8">
        <v>2</v>
      </c>
      <c r="J13" s="8">
        <v>2</v>
      </c>
      <c r="K13" s="3"/>
      <c r="L13" s="3"/>
      <c r="M13" s="3"/>
      <c r="N13" s="3"/>
      <c r="O13" s="3"/>
    </row>
    <row r="14" spans="1:15" x14ac:dyDescent="0.45">
      <c r="A14" s="20" t="s">
        <v>27</v>
      </c>
      <c r="B14" s="22">
        <v>7</v>
      </c>
      <c r="C14" s="22">
        <v>210</v>
      </c>
      <c r="D14" s="24" t="s">
        <v>11</v>
      </c>
      <c r="E14" s="22">
        <v>3</v>
      </c>
      <c r="F14" s="22">
        <v>2</v>
      </c>
      <c r="G14" s="22">
        <v>4</v>
      </c>
      <c r="H14" s="22">
        <v>8</v>
      </c>
      <c r="I14" s="22">
        <v>3</v>
      </c>
      <c r="J14" s="22">
        <v>4</v>
      </c>
      <c r="K14" s="3"/>
      <c r="L14" s="3"/>
      <c r="M14" s="3"/>
      <c r="N14" s="3"/>
      <c r="O14" s="3"/>
    </row>
    <row r="15" spans="1:15" hidden="1" x14ac:dyDescent="0.45">
      <c r="A15" s="21" t="s">
        <v>28</v>
      </c>
      <c r="B15" s="23">
        <v>7</v>
      </c>
      <c r="C15" s="23">
        <v>317</v>
      </c>
      <c r="D15" s="25" t="s">
        <v>13</v>
      </c>
      <c r="E15" s="23">
        <v>3</v>
      </c>
      <c r="F15" s="23">
        <v>2</v>
      </c>
      <c r="G15" s="23">
        <v>5</v>
      </c>
      <c r="H15" s="23">
        <v>8</v>
      </c>
      <c r="I15" s="23">
        <v>3</v>
      </c>
      <c r="J15" s="23">
        <v>3</v>
      </c>
      <c r="K15" s="3"/>
      <c r="L15" s="3"/>
      <c r="M15" s="3"/>
      <c r="N15" s="3"/>
      <c r="O15" s="3"/>
    </row>
    <row r="16" spans="1:15" x14ac:dyDescent="0.45">
      <c r="A16" s="20" t="s">
        <v>29</v>
      </c>
      <c r="B16" s="22">
        <v>8</v>
      </c>
      <c r="C16" s="22">
        <v>211</v>
      </c>
      <c r="D16" s="24" t="s">
        <v>11</v>
      </c>
      <c r="E16" s="22">
        <v>6</v>
      </c>
      <c r="F16" s="22">
        <v>3</v>
      </c>
      <c r="G16" s="22">
        <v>7</v>
      </c>
      <c r="H16" s="22">
        <v>8</v>
      </c>
      <c r="I16" s="22">
        <v>5</v>
      </c>
      <c r="J16" s="22">
        <v>1</v>
      </c>
      <c r="K16" s="3"/>
      <c r="L16" s="3"/>
      <c r="M16" s="3"/>
      <c r="N16" s="3"/>
      <c r="O16" s="3"/>
    </row>
    <row r="17" spans="1:15" hidden="1" x14ac:dyDescent="0.45">
      <c r="A17" s="21" t="s">
        <v>30</v>
      </c>
      <c r="B17" s="23">
        <v>8</v>
      </c>
      <c r="C17" s="23">
        <v>289</v>
      </c>
      <c r="D17" s="25" t="s">
        <v>13</v>
      </c>
      <c r="E17" s="23">
        <v>4</v>
      </c>
      <c r="F17" s="23">
        <v>2</v>
      </c>
      <c r="G17" s="23">
        <v>4</v>
      </c>
      <c r="H17" s="23">
        <v>8</v>
      </c>
      <c r="I17" s="23">
        <v>3</v>
      </c>
      <c r="J17" s="23">
        <v>1</v>
      </c>
      <c r="K17" s="3"/>
      <c r="L17" s="3"/>
      <c r="M17" s="3"/>
      <c r="N17" s="3"/>
      <c r="O17" s="3"/>
    </row>
    <row r="18" spans="1:15" hidden="1" x14ac:dyDescent="0.45">
      <c r="A18" s="20" t="s">
        <v>31</v>
      </c>
      <c r="B18" s="22">
        <v>9</v>
      </c>
      <c r="C18" s="22">
        <v>259</v>
      </c>
      <c r="D18" s="24" t="s">
        <v>13</v>
      </c>
      <c r="E18" s="22">
        <v>2</v>
      </c>
      <c r="F18" s="22">
        <v>2</v>
      </c>
      <c r="G18" s="22">
        <v>1</v>
      </c>
      <c r="H18" s="22">
        <v>7</v>
      </c>
      <c r="I18" s="22">
        <v>4</v>
      </c>
      <c r="J18" s="22">
        <v>1</v>
      </c>
      <c r="K18" s="3"/>
      <c r="L18" s="3"/>
      <c r="M18" s="3"/>
      <c r="N18" s="3"/>
      <c r="O18" s="3"/>
    </row>
    <row r="19" spans="1:15" x14ac:dyDescent="0.45">
      <c r="A19" s="21" t="s">
        <v>32</v>
      </c>
      <c r="B19" s="23">
        <v>9</v>
      </c>
      <c r="C19" s="23">
        <v>154</v>
      </c>
      <c r="D19" s="25" t="s">
        <v>11</v>
      </c>
      <c r="E19" s="23">
        <v>5</v>
      </c>
      <c r="F19" s="23">
        <v>3</v>
      </c>
      <c r="G19" s="23">
        <v>3</v>
      </c>
      <c r="H19" s="23">
        <v>5</v>
      </c>
      <c r="I19" s="23">
        <v>5</v>
      </c>
      <c r="J19" s="23">
        <v>3</v>
      </c>
      <c r="K19" s="3"/>
      <c r="L19" s="3"/>
      <c r="M19" s="3"/>
      <c r="N19" s="3"/>
      <c r="O19" s="3"/>
    </row>
    <row r="20" spans="1:15" x14ac:dyDescent="0.45">
      <c r="A20" s="20" t="s">
        <v>33</v>
      </c>
      <c r="B20" s="22">
        <v>10</v>
      </c>
      <c r="C20" s="22">
        <v>180</v>
      </c>
      <c r="D20" s="24" t="s">
        <v>11</v>
      </c>
      <c r="E20" s="22">
        <v>2</v>
      </c>
      <c r="F20" s="22">
        <v>1</v>
      </c>
      <c r="G20" s="22">
        <v>3</v>
      </c>
      <c r="H20" s="22">
        <v>8</v>
      </c>
      <c r="I20" s="22">
        <v>2</v>
      </c>
      <c r="J20" s="22">
        <v>2</v>
      </c>
      <c r="K20" s="3"/>
      <c r="L20" s="3"/>
      <c r="M20" s="3"/>
      <c r="N20" s="3"/>
      <c r="O20" s="3"/>
    </row>
    <row r="21" spans="1:15" hidden="1" x14ac:dyDescent="0.45">
      <c r="A21" s="21" t="s">
        <v>34</v>
      </c>
      <c r="B21" s="23">
        <v>10</v>
      </c>
      <c r="C21" s="23">
        <v>219</v>
      </c>
      <c r="D21" s="25" t="s">
        <v>13</v>
      </c>
      <c r="E21" s="23">
        <v>2</v>
      </c>
      <c r="F21" s="23">
        <v>1</v>
      </c>
      <c r="G21" s="23">
        <v>2</v>
      </c>
      <c r="H21" s="23">
        <v>8</v>
      </c>
      <c r="I21" s="23">
        <v>1</v>
      </c>
      <c r="J21" s="23">
        <v>2</v>
      </c>
      <c r="K21" s="3"/>
      <c r="L21" s="3"/>
      <c r="M21" s="3"/>
      <c r="N21" s="3"/>
      <c r="O21" s="3"/>
    </row>
    <row r="22" spans="1:15" x14ac:dyDescent="0.45">
      <c r="A22" s="20" t="s">
        <v>35</v>
      </c>
      <c r="B22" s="22">
        <v>11</v>
      </c>
      <c r="C22" s="22">
        <v>284</v>
      </c>
      <c r="D22" s="24" t="s">
        <v>11</v>
      </c>
      <c r="E22" s="22">
        <v>6</v>
      </c>
      <c r="F22" s="22">
        <v>8</v>
      </c>
      <c r="G22" s="22">
        <v>5</v>
      </c>
      <c r="H22" s="22">
        <v>5</v>
      </c>
      <c r="I22" s="22">
        <v>6</v>
      </c>
      <c r="J22" s="22">
        <v>7</v>
      </c>
      <c r="K22" s="3"/>
      <c r="L22" s="3"/>
      <c r="M22" s="3"/>
      <c r="N22" s="3"/>
      <c r="O22" s="3"/>
    </row>
    <row r="23" spans="1:15" hidden="1" x14ac:dyDescent="0.45">
      <c r="A23" s="21" t="s">
        <v>36</v>
      </c>
      <c r="B23" s="23">
        <v>11</v>
      </c>
      <c r="C23" s="23">
        <v>267</v>
      </c>
      <c r="D23" s="25" t="s">
        <v>13</v>
      </c>
      <c r="E23" s="23">
        <v>4</v>
      </c>
      <c r="F23" s="23">
        <v>5</v>
      </c>
      <c r="G23" s="23">
        <v>4</v>
      </c>
      <c r="H23" s="23">
        <v>7</v>
      </c>
      <c r="I23" s="23">
        <v>4</v>
      </c>
      <c r="J23" s="23">
        <v>2</v>
      </c>
      <c r="K23" s="3"/>
      <c r="L23" s="3"/>
      <c r="M23" s="3"/>
      <c r="N23" s="3"/>
      <c r="O23" s="3"/>
    </row>
    <row r="24" spans="1:15" x14ac:dyDescent="0.45">
      <c r="A24" s="20" t="s">
        <v>37</v>
      </c>
      <c r="B24" s="22">
        <v>12</v>
      </c>
      <c r="C24" s="22">
        <v>173</v>
      </c>
      <c r="D24" s="24" t="s">
        <v>11</v>
      </c>
      <c r="E24" s="22">
        <v>3</v>
      </c>
      <c r="F24" s="22">
        <v>1</v>
      </c>
      <c r="G24" s="22">
        <v>1</v>
      </c>
      <c r="H24" s="22">
        <v>9</v>
      </c>
      <c r="I24" s="22">
        <v>3</v>
      </c>
      <c r="J24" s="22">
        <v>1</v>
      </c>
      <c r="K24" s="3"/>
      <c r="L24" s="3"/>
      <c r="M24" s="3"/>
      <c r="N24" s="3"/>
      <c r="O24" s="3"/>
    </row>
    <row r="25" spans="1:15" hidden="1" x14ac:dyDescent="0.45">
      <c r="A25" s="21" t="s">
        <v>38</v>
      </c>
      <c r="B25" s="23">
        <v>12</v>
      </c>
      <c r="C25" s="23">
        <v>208</v>
      </c>
      <c r="D25" s="25" t="s">
        <v>13</v>
      </c>
      <c r="E25" s="23">
        <v>2</v>
      </c>
      <c r="F25" s="23">
        <v>1</v>
      </c>
      <c r="G25" s="23">
        <v>1</v>
      </c>
      <c r="H25" s="23">
        <v>10</v>
      </c>
      <c r="I25" s="23">
        <v>2</v>
      </c>
      <c r="J25" s="23">
        <v>1</v>
      </c>
      <c r="K25" s="3"/>
      <c r="L25" s="3"/>
      <c r="M25" s="3"/>
      <c r="N25" s="3"/>
      <c r="O25" s="3"/>
    </row>
    <row r="26" spans="1:15" hidden="1" x14ac:dyDescent="0.45">
      <c r="A26" s="20" t="s">
        <v>39</v>
      </c>
      <c r="B26" s="22">
        <v>13</v>
      </c>
      <c r="C26" s="22">
        <v>249</v>
      </c>
      <c r="D26" s="24" t="s">
        <v>13</v>
      </c>
      <c r="E26" s="22">
        <v>3</v>
      </c>
      <c r="F26" s="22">
        <v>4</v>
      </c>
      <c r="G26" s="22">
        <v>1</v>
      </c>
      <c r="H26" s="22">
        <v>8</v>
      </c>
      <c r="I26" s="22">
        <v>3</v>
      </c>
      <c r="J26" s="22">
        <v>5</v>
      </c>
      <c r="K26" s="3"/>
      <c r="L26" s="3"/>
      <c r="M26" s="3"/>
      <c r="N26" s="3"/>
      <c r="O26" s="3"/>
    </row>
    <row r="27" spans="1:15" x14ac:dyDescent="0.45">
      <c r="A27" s="21" t="s">
        <v>40</v>
      </c>
      <c r="B27" s="23">
        <v>13</v>
      </c>
      <c r="C27" s="23">
        <v>284</v>
      </c>
      <c r="D27" s="25" t="s">
        <v>11</v>
      </c>
      <c r="E27" s="23">
        <v>6</v>
      </c>
      <c r="F27" s="23">
        <v>6</v>
      </c>
      <c r="G27" s="23">
        <v>4</v>
      </c>
      <c r="H27" s="23">
        <v>4</v>
      </c>
      <c r="I27" s="23">
        <v>5</v>
      </c>
      <c r="J27" s="23">
        <v>4</v>
      </c>
      <c r="K27" s="3"/>
      <c r="L27" s="3"/>
      <c r="M27" s="3"/>
      <c r="N27" s="3"/>
      <c r="O27" s="3"/>
    </row>
    <row r="28" spans="1:15" x14ac:dyDescent="0.45">
      <c r="A28" s="20" t="s">
        <v>41</v>
      </c>
      <c r="B28" s="22">
        <v>14</v>
      </c>
      <c r="C28" s="22">
        <v>213</v>
      </c>
      <c r="D28" s="24" t="s">
        <v>11</v>
      </c>
      <c r="E28" s="22">
        <v>3</v>
      </c>
      <c r="F28" s="22">
        <v>1</v>
      </c>
      <c r="G28" s="22">
        <v>7</v>
      </c>
      <c r="H28" s="22">
        <v>2</v>
      </c>
      <c r="I28" s="22">
        <v>2</v>
      </c>
      <c r="J28" s="22">
        <v>5</v>
      </c>
      <c r="K28" s="3"/>
      <c r="L28" s="3"/>
      <c r="M28" s="3"/>
      <c r="N28" s="3"/>
      <c r="O28" s="3"/>
    </row>
    <row r="29" spans="1:15" hidden="1" x14ac:dyDescent="0.45">
      <c r="A29" s="21" t="s">
        <v>42</v>
      </c>
      <c r="B29" s="23">
        <v>14</v>
      </c>
      <c r="C29" s="23">
        <v>263</v>
      </c>
      <c r="D29" s="25" t="s">
        <v>13</v>
      </c>
      <c r="E29" s="23">
        <v>1</v>
      </c>
      <c r="F29" s="23">
        <v>1</v>
      </c>
      <c r="G29" s="23">
        <v>3</v>
      </c>
      <c r="H29" s="23">
        <v>2</v>
      </c>
      <c r="I29" s="23">
        <v>1</v>
      </c>
      <c r="J29" s="23">
        <v>2</v>
      </c>
      <c r="K29" s="3"/>
      <c r="L29" s="3"/>
      <c r="M29" s="3"/>
      <c r="N29" s="3"/>
      <c r="O29" s="3"/>
    </row>
    <row r="30" spans="1:15" hidden="1" x14ac:dyDescent="0.45">
      <c r="A30" s="20" t="s">
        <v>43</v>
      </c>
      <c r="B30" s="22">
        <v>15</v>
      </c>
      <c r="C30" s="22">
        <v>297</v>
      </c>
      <c r="D30" s="24" t="s">
        <v>13</v>
      </c>
      <c r="E30" s="22">
        <v>4</v>
      </c>
      <c r="F30" s="22">
        <v>3</v>
      </c>
      <c r="G30" s="22">
        <v>5</v>
      </c>
      <c r="H30" s="22">
        <v>8</v>
      </c>
      <c r="I30" s="22">
        <v>2</v>
      </c>
      <c r="J30" s="22">
        <v>2</v>
      </c>
      <c r="K30" s="3"/>
      <c r="L30" s="3"/>
      <c r="M30" s="3"/>
      <c r="N30" s="3"/>
      <c r="O30" s="3"/>
    </row>
    <row r="31" spans="1:15" x14ac:dyDescent="0.45">
      <c r="A31" s="21" t="s">
        <v>44</v>
      </c>
      <c r="B31" s="23">
        <v>15</v>
      </c>
      <c r="C31" s="23">
        <v>230</v>
      </c>
      <c r="D31" s="25" t="s">
        <v>11</v>
      </c>
      <c r="E31" s="23">
        <v>8</v>
      </c>
      <c r="F31" s="23">
        <v>7</v>
      </c>
      <c r="G31" s="23">
        <v>5</v>
      </c>
      <c r="H31" s="23">
        <v>8</v>
      </c>
      <c r="I31" s="23">
        <v>7</v>
      </c>
      <c r="J31" s="23">
        <v>4</v>
      </c>
      <c r="K31" s="3"/>
      <c r="L31" s="3"/>
      <c r="M31" s="3"/>
      <c r="N31" s="3"/>
      <c r="O31" s="3"/>
    </row>
    <row r="32" spans="1:15" x14ac:dyDescent="0.45">
      <c r="A32" s="20" t="s">
        <v>45</v>
      </c>
      <c r="B32" s="22">
        <v>16</v>
      </c>
      <c r="C32" s="22">
        <v>151</v>
      </c>
      <c r="D32" s="24" t="s">
        <v>11</v>
      </c>
      <c r="E32" s="22">
        <v>5</v>
      </c>
      <c r="F32" s="22">
        <v>2</v>
      </c>
      <c r="G32" s="22">
        <v>6</v>
      </c>
      <c r="H32" s="22">
        <v>8</v>
      </c>
      <c r="I32" s="22">
        <v>6</v>
      </c>
      <c r="J32" s="22">
        <v>2</v>
      </c>
      <c r="K32" s="3"/>
      <c r="L32" s="3"/>
      <c r="M32" s="3"/>
      <c r="N32" s="3"/>
      <c r="O32" s="3"/>
    </row>
    <row r="33" spans="1:15" hidden="1" x14ac:dyDescent="0.45">
      <c r="A33" s="21" t="s">
        <v>46</v>
      </c>
      <c r="B33" s="23">
        <v>16</v>
      </c>
      <c r="C33" s="23">
        <v>243</v>
      </c>
      <c r="D33" s="25" t="s">
        <v>13</v>
      </c>
      <c r="E33" s="23">
        <v>1</v>
      </c>
      <c r="F33" s="23">
        <v>2</v>
      </c>
      <c r="G33" s="23">
        <v>1</v>
      </c>
      <c r="H33" s="23">
        <v>6</v>
      </c>
      <c r="I33" s="23">
        <v>2</v>
      </c>
      <c r="J33" s="23">
        <v>3</v>
      </c>
      <c r="K33" s="3"/>
      <c r="L33" s="3"/>
      <c r="M33" s="3"/>
      <c r="N33" s="3"/>
      <c r="O33" s="3"/>
    </row>
    <row r="34" spans="1:15" x14ac:dyDescent="0.45">
      <c r="A34" s="17"/>
      <c r="B34" s="18"/>
      <c r="C34" s="18"/>
      <c r="D34" s="19"/>
      <c r="E34" s="18"/>
      <c r="F34" s="18"/>
      <c r="G34" s="18"/>
      <c r="H34" s="18"/>
      <c r="I34" s="18"/>
      <c r="J34" s="18"/>
      <c r="K34" s="3"/>
      <c r="L34" s="3"/>
      <c r="M34" s="3"/>
      <c r="N34" s="3"/>
      <c r="O34" s="3"/>
    </row>
    <row r="36" spans="1:15" x14ac:dyDescent="0.45">
      <c r="C36" s="16">
        <f>AVERAGE(C3,C5,C7,C9,C11,C12,C15,C17,C18,C21,C23,C25,C26,C29,C30,C33)</f>
        <v>270.625</v>
      </c>
      <c r="D36" s="10" t="s">
        <v>24</v>
      </c>
      <c r="E36" s="11">
        <f>AVERAGE(E3,E5,E7,E9,E11,E12,E15,E17,E18,E21,E23,E25,E26,E29,E30,E33)</f>
        <v>2.9375</v>
      </c>
      <c r="F36" s="11">
        <f>AVERAGE(F3,F5,F7,F9,F11,F12,F15,F17,F18,F21,F23,F25,F26,F29,F30,F33)</f>
        <v>2.3125</v>
      </c>
      <c r="G36" s="11">
        <f>AVERAGE(G3,G5,G7,G9,G11,G12,G15,G17,G18,G21,G23,G25,G26,G29,G30,G33)</f>
        <v>3.0625</v>
      </c>
      <c r="H36" s="11">
        <f>AVERAGE(H3,H5,H7,H9,H11,H12,H15,H17,H18,H21,H23,H25,H26,H29,H30,H33)</f>
        <v>7.5</v>
      </c>
      <c r="I36" s="11">
        <f>AVERAGE(I3,I5,I7,I9,I11,I12,I15,I17,I18,I21,I23,I25,I26,I29,I30,I33)</f>
        <v>2.4375</v>
      </c>
      <c r="J36" s="11">
        <f>AVERAGE(J3,J5,J7,J9,J11,J12,J15,J17,J18,J21,J23,J25,J26,J29,J30,J33)</f>
        <v>2.375</v>
      </c>
    </row>
    <row r="37" spans="1:15" x14ac:dyDescent="0.45">
      <c r="C37" s="16">
        <f>AVERAGE(C2,C4,C6,C8,C10,C13,C14,C16,C19,C20,C22,C24,C27,C28,C31,C32)</f>
        <v>216.625</v>
      </c>
      <c r="D37" s="12" t="s">
        <v>25</v>
      </c>
      <c r="E37" s="13">
        <f>AVERAGE(E2,E4,E6,E8,E10,E13,E14,E16,E19,E20,E22,E24,E27,E28,E31,E32)</f>
        <v>4.5</v>
      </c>
      <c r="F37" s="13">
        <f>AVERAGE(F2,F4,F6,F8,F10,F13,F14,F16,F19,F20,F22,F24,F27,F28,F31,F32)</f>
        <v>3</v>
      </c>
      <c r="G37" s="13">
        <f t="shared" ref="G37:J37" si="0">AVERAGE(G2,G4,G6,G8,G10,G13,G14,G16,G19,G20,G22,G24,G27,G28,G31,G32)</f>
        <v>4.375</v>
      </c>
      <c r="H37" s="13">
        <f t="shared" si="0"/>
        <v>7</v>
      </c>
      <c r="I37" s="13">
        <f t="shared" si="0"/>
        <v>4.1875</v>
      </c>
      <c r="J37" s="13">
        <f t="shared" si="0"/>
        <v>3.5</v>
      </c>
    </row>
    <row r="38" spans="1:15" x14ac:dyDescent="0.45">
      <c r="D38" s="14" t="s">
        <v>26</v>
      </c>
      <c r="E38" s="15">
        <f t="shared" ref="E38:J38" si="1">IF(E37&lt;&gt;0,(E36-E37)/E37,"N/A")</f>
        <v>-0.34722222222222221</v>
      </c>
      <c r="F38" s="15">
        <f t="shared" si="1"/>
        <v>-0.22916666666666666</v>
      </c>
      <c r="G38" s="15">
        <f t="shared" si="1"/>
        <v>-0.3</v>
      </c>
      <c r="H38" s="15">
        <f t="shared" si="1"/>
        <v>7.1428571428571425E-2</v>
      </c>
      <c r="I38" s="15">
        <f t="shared" si="1"/>
        <v>-0.41791044776119401</v>
      </c>
      <c r="J38" s="15">
        <f t="shared" si="1"/>
        <v>-0.32142857142857145</v>
      </c>
    </row>
  </sheetData>
  <autoFilter ref="A1:J33" xr:uid="{00000000-0001-0000-0000-000000000000}">
    <filterColumn colId="3">
      <filters>
        <filter val="Without robot"/>
      </filters>
    </filterColumn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Lorenzo Testi</dc:creator>
  <dc:description/>
  <cp:lastModifiedBy>Lorenzo Testi</cp:lastModifiedBy>
  <cp:revision>0</cp:revision>
  <dcterms:created xsi:type="dcterms:W3CDTF">2026-05-26T11:30:19Z</dcterms:created>
  <dcterms:modified xsi:type="dcterms:W3CDTF">2026-06-16T14:42:07Z</dcterms:modified>
  <dc:language>en-US</dc:language>
</cp:coreProperties>
</file>